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Jonathan\.ssh\DesarrolloSoftware\psps\"/>
    </mc:Choice>
  </mc:AlternateContent>
  <bookViews>
    <workbookView xWindow="0" yWindow="0" windowWidth="20385" windowHeight="775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2511"/>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<sst xmlns="http://schemas.openxmlformats.org/spreadsheetml/2006/main" count="245" uniqueCount="135">
  <si>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</si>
  <si>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</si>
  <si>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</si>
  <si>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</si>
  <si>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</si>
  <si>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</si>
  <si>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</si>
  <si>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</si>
  <si>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</si>
  <si>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</si>
  <si>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</si>
  <si>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</si>
  <si>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</si>
  <si>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</si>
  <si>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</si>
  <si>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</si>
  <si>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</si>
  <si>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</si>
  <si>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</si>
  <si>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</si>
  <si>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</si>
  <si>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</si>
  <si>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</si>
  <si>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</si>
  <si>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</si>
  <si>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</si>
  <si>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</si>
  <si>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</si>
  <si>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</si>
  <si>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</si>
  <si>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</si>
  <si>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</si>
  <si>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</si>
  <si>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</si>
  <si>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</si>
  <si>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</si>
  <si>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</si>
  <si>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</si>
  <si>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</si>
  <si>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</si>
  <si>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</si>
  <si>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</si>
  <si>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</si>
  <si>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</si>
  <si>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</si>
  <si>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</si>
  <si>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</si>
  <si>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</si>
  <si>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</si>
  <si>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</si>
  <si>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</si>
  <si>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</si>
  <si>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</si>
  <si>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</si>
  <si>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</si>
  <si>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</si>
  <si>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</si>
  <si>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</si>
  <si>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</si>
  <si>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</si>
  <si>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</si>
  <si>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</si>
  <si>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</si>
  <si>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</si>
  <si>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</si>
  <si>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</si>
  <si>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</si>
  <si>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</si>
  <si>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</si>
  <si>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</si>
  <si>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</si>
  <si>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</si>
  <si>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</si>
  <si>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</si>
  <si>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</si>
  <si>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</si>
  <si>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</si>
  <si>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</si>
  <si>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</si>
  <si>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</si>
  <si>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</si>
  <si>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</si>
  <si>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</si>
  <si>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</si>
  <si>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</si>
  <si>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</si>
  <si>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</si>
  <si>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</si>
  <si>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</si>
  <si>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</si>
  <si>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</si>
  <si>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</si>
  <si>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</si>
  <si>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</si>
  <si>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</si>
  <si>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</si>
  <si>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</si>
  <si>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</si>
  <si>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</si>
  <si>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</si>
  <si>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</si>
  <si>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</si>
  <si>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</si>
  <si>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</si>
  <si>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</si>
  <si>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</si>
  <si>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</si>
  <si>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</si>
  <si>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</si>
  <si>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</si>
  <si>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</si>
  <si>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</si>
  <si>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</si>
  <si>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</si>
  <si>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</si>
  <si>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</si>
  <si>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JONATHAN GARCIA DELGADO</t>
  </si>
  <si>
    <t>Héctor Xavier Limón Riaño</t>
  </si>
  <si>
    <t>ESCUELA DE DANZA</t>
  </si>
  <si>
    <t>Planeación sobre trabajo actual</t>
  </si>
  <si>
    <t>Análisis de la sistuación actual</t>
  </si>
  <si>
    <t>Diseño Premilinar</t>
  </si>
  <si>
    <t>Elaboración de Documentación</t>
  </si>
  <si>
    <t>Diseño</t>
  </si>
  <si>
    <t>Validación del modulo registrar alumno</t>
  </si>
  <si>
    <t>Modulo registrar alumno</t>
  </si>
  <si>
    <t>Actualización del código</t>
  </si>
  <si>
    <t>Optimización del código</t>
  </si>
  <si>
    <t>Interfaces de modificar y buscar alumno</t>
  </si>
  <si>
    <t>Métodos de consultar alumnos</t>
  </si>
  <si>
    <t>Métodos modificar alumno</t>
  </si>
  <si>
    <t>Clase dar de baja alumno</t>
  </si>
  <si>
    <t>Clase e interface de buscar alumno</t>
  </si>
  <si>
    <t>Reestructura de las clases</t>
  </si>
  <si>
    <t>Validar y registrar pago de incripción</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</si>
</sst>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
    <numFmt numFmtId="165" formatCode="0.00_)"/>
    <numFmt numFmtId="166" formatCode="0.0"/>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108">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0" fontId="21" fillId="0" borderId="0" xfId="8"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1"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4" fontId="21"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topLeftCell="A7" workbookViewId="0">
      <selection activeCell="G12" sqref="G12"/>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12.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116</v>
      </c>
      <c r="E4" s="39"/>
      <c r="I4" s="33" t="s">
        <v>26</v>
      </c>
      <c r="K4" s="39">
        <v>42773</v>
      </c>
    </row>
    <row r="5" spans="1:15">
      <c r="C5" s="33" t="s">
        <v>27</v>
      </c>
      <c r="D5" s="66" t="s">
        <v>118</v>
      </c>
      <c r="E5" s="39"/>
      <c r="I5" s="33" t="s">
        <v>28</v>
      </c>
      <c r="K5" s="50">
        <v>1</v>
      </c>
    </row>
    <row r="6" spans="1:15">
      <c r="C6" s="33" t="s">
        <v>29</v>
      </c>
      <c r="D6" s="66" t="s">
        <v>117</v>
      </c>
      <c r="E6" s="39"/>
      <c r="I6" s="33" t="s">
        <v>30</v>
      </c>
      <c r="K6" s="50" t="s">
        <v>31</v>
      </c>
    </row>
    <row r="8" spans="1:15">
      <c r="E8" s="40" t="s">
        <v>32</v>
      </c>
      <c r="G8" s="41" t="s">
        <v>33</v>
      </c>
      <c r="I8" s="41" t="s">
        <v>34</v>
      </c>
      <c r="K8" s="41" t="s">
        <v>35</v>
      </c>
      <c r="M8" s="41" t="s">
        <v>36</v>
      </c>
      <c r="O8" s="41" t="s">
        <v>37</v>
      </c>
    </row>
    <row r="9" spans="1:15">
      <c r="C9" s="41" t="s">
        <v>38</v>
      </c>
      <c r="E9" s="42"/>
      <c r="F9" s="42"/>
    </row>
    <row r="10" spans="1:15">
      <c r="B10" s="43" t="s">
        <v>39</v>
      </c>
      <c r="C10" s="44" t="s">
        <v>40</v>
      </c>
      <c r="E10" s="42"/>
      <c r="F10" s="42"/>
      <c r="G10" s="45">
        <f>SUM(TimeLog!G2)</f>
        <v>32.000000000000043</v>
      </c>
      <c r="H10" s="42"/>
      <c r="I10" s="45"/>
      <c r="J10" s="42"/>
      <c r="K10" s="45"/>
      <c r="L10" s="51"/>
      <c r="M10" s="45"/>
      <c r="O10" s="52">
        <f>SUM(G10:M10)</f>
        <v>32.000000000000043</v>
      </c>
    </row>
    <row r="11" spans="1:15">
      <c r="B11" s="43" t="s">
        <v>39</v>
      </c>
      <c r="C11" s="44" t="s">
        <v>41</v>
      </c>
      <c r="E11" s="42"/>
      <c r="F11" s="42"/>
      <c r="G11" s="45"/>
      <c r="H11" s="42"/>
      <c r="I11" s="45">
        <f>SUM(TimeLog!G3:G11)</f>
        <v>587.44999999999982</v>
      </c>
      <c r="J11" s="42"/>
      <c r="K11" s="45"/>
      <c r="L11" s="51"/>
      <c r="M11" s="45"/>
      <c r="O11" s="52">
        <f t="shared" ref="O11:O18" si="0">SUM(G11:M11)</f>
        <v>587.44999999999982</v>
      </c>
    </row>
    <row r="12" spans="1:15">
      <c r="C12" s="46" t="s">
        <v>42</v>
      </c>
      <c r="E12" s="42"/>
      <c r="F12" s="42"/>
      <c r="G12" s="45"/>
      <c r="H12" s="42"/>
      <c r="I12" s="45"/>
      <c r="J12" s="42"/>
      <c r="K12" s="45"/>
      <c r="L12" s="51"/>
      <c r="M12" s="45"/>
      <c r="O12" s="52">
        <f t="shared" si="0"/>
        <v>0</v>
      </c>
    </row>
    <row r="13" spans="1:15">
      <c r="B13" s="43" t="s">
        <v>39</v>
      </c>
      <c r="C13" s="44" t="s">
        <v>43</v>
      </c>
      <c r="E13" s="42"/>
      <c r="F13" s="42"/>
      <c r="G13" s="45"/>
      <c r="H13" s="42"/>
      <c r="I13" s="45"/>
      <c r="J13" s="42"/>
      <c r="K13" s="45"/>
      <c r="L13" s="51"/>
      <c r="M13" s="45"/>
      <c r="O13" s="52">
        <f t="shared" si="0"/>
        <v>0</v>
      </c>
    </row>
    <row r="14" spans="1:15">
      <c r="C14" s="46" t="s">
        <v>44</v>
      </c>
      <c r="E14" s="42"/>
      <c r="F14" s="42"/>
      <c r="G14" s="45"/>
      <c r="H14" s="42"/>
      <c r="I14" s="45"/>
      <c r="J14" s="42"/>
      <c r="K14" s="45"/>
      <c r="L14" s="51"/>
      <c r="M14" s="45"/>
      <c r="O14" s="52">
        <f t="shared" si="0"/>
        <v>0</v>
      </c>
    </row>
    <row r="15" spans="1:15">
      <c r="C15" s="46" t="s">
        <v>45</v>
      </c>
      <c r="E15" s="42"/>
      <c r="F15" s="42"/>
      <c r="G15" s="45"/>
      <c r="H15" s="42"/>
      <c r="I15" s="45"/>
      <c r="J15" s="42"/>
      <c r="K15" s="45"/>
      <c r="L15" s="51"/>
      <c r="M15" s="45"/>
      <c r="O15" s="52">
        <f t="shared" si="0"/>
        <v>0</v>
      </c>
    </row>
    <row r="16" spans="1:15">
      <c r="B16" s="43" t="s">
        <v>39</v>
      </c>
      <c r="C16" s="44" t="s">
        <v>46</v>
      </c>
      <c r="E16" s="42"/>
      <c r="F16" s="42"/>
      <c r="G16" s="45"/>
      <c r="H16" s="42"/>
      <c r="I16" s="45"/>
      <c r="J16" s="42"/>
      <c r="K16" s="45"/>
      <c r="L16" s="51"/>
      <c r="M16" s="45"/>
      <c r="O16" s="52">
        <f t="shared" si="0"/>
        <v>0</v>
      </c>
    </row>
    <row r="17" spans="2:15">
      <c r="B17" s="43" t="s">
        <v>39</v>
      </c>
      <c r="C17" s="44" t="s">
        <v>47</v>
      </c>
      <c r="E17" s="42"/>
      <c r="F17" s="42"/>
      <c r="G17" s="45"/>
      <c r="H17" s="42"/>
      <c r="I17" s="45"/>
      <c r="J17" s="42"/>
      <c r="K17" s="45"/>
      <c r="L17" s="51"/>
      <c r="M17" s="45"/>
      <c r="O17" s="52">
        <f t="shared" si="0"/>
        <v>0</v>
      </c>
    </row>
    <row r="18" spans="2:15">
      <c r="C18" s="46" t="s">
        <v>48</v>
      </c>
      <c r="E18" s="42"/>
      <c r="F18" s="42"/>
      <c r="G18" s="45"/>
      <c r="H18" s="42"/>
      <c r="I18" s="45"/>
      <c r="J18" s="42"/>
      <c r="K18" s="45"/>
      <c r="L18" s="51"/>
      <c r="M18" s="45"/>
      <c r="O18" s="52">
        <f t="shared" si="0"/>
        <v>0</v>
      </c>
    </row>
    <row r="19" spans="2:15">
      <c r="C19" s="33" t="s">
        <v>49</v>
      </c>
      <c r="E19" s="45" t="s">
        <v>50</v>
      </c>
      <c r="F19" s="42"/>
      <c r="G19" s="47">
        <f t="shared" ref="G19:K19" si="1">SUM(G10:G18)</f>
        <v>32.000000000000043</v>
      </c>
      <c r="H19" s="42"/>
      <c r="I19" s="47">
        <f t="shared" si="1"/>
        <v>587.44999999999982</v>
      </c>
      <c r="J19" s="42"/>
      <c r="K19" s="47">
        <f t="shared" si="1"/>
        <v>0</v>
      </c>
      <c r="L19" s="53"/>
      <c r="M19" s="47">
        <f>SUM(M10:M18)</f>
        <v>0</v>
      </c>
      <c r="O19" s="47">
        <f>SUM(O10:O18)</f>
        <v>619.44999999999982</v>
      </c>
    </row>
    <row r="20" spans="2:15">
      <c r="G20" s="48"/>
      <c r="K20" s="54"/>
    </row>
    <row r="22" spans="2:15">
      <c r="B22" s="49"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15" activePane="bottomLeft" state="frozenSplit"/>
      <selection pane="bottomLeft" activeCell="H30" sqref="H30"/>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23">
        <v>1</v>
      </c>
      <c r="B2" s="24" t="s">
        <v>40</v>
      </c>
      <c r="C2" s="25">
        <v>42774</v>
      </c>
      <c r="D2" s="70">
        <v>0.60277777777777775</v>
      </c>
      <c r="E2" s="26"/>
      <c r="F2" s="70">
        <v>0.625</v>
      </c>
      <c r="G2" s="15">
        <v>32.000000000000043</v>
      </c>
      <c r="H2" s="67" t="s">
        <v>119</v>
      </c>
    </row>
    <row r="3" spans="1:8">
      <c r="A3" s="23">
        <v>1</v>
      </c>
      <c r="B3" s="69" t="s">
        <v>41</v>
      </c>
      <c r="C3" s="68">
        <v>42775</v>
      </c>
      <c r="D3" s="70">
        <v>0.74861111111111101</v>
      </c>
      <c r="E3" s="26"/>
      <c r="F3" s="71">
        <v>0.79027777777777775</v>
      </c>
      <c r="G3" s="15">
        <v>60.000000000000107</v>
      </c>
      <c r="H3" s="67" t="s">
        <v>120</v>
      </c>
    </row>
    <row r="4" spans="1:8">
      <c r="A4" s="23">
        <v>1</v>
      </c>
      <c r="B4" s="24" t="s">
        <v>41</v>
      </c>
      <c r="C4" s="25">
        <v>42778</v>
      </c>
      <c r="D4" s="75">
        <v>0.98958333333333337</v>
      </c>
      <c r="E4" s="26"/>
      <c r="F4" s="76">
        <v>3.1504629629629625E-2</v>
      </c>
      <c r="G4" s="15">
        <v>60.366666666666617</v>
      </c>
      <c r="H4" s="67" t="s">
        <v>120</v>
      </c>
    </row>
    <row r="5" spans="1:8">
      <c r="A5" s="23">
        <v>1</v>
      </c>
      <c r="B5" s="24" t="s">
        <v>41</v>
      </c>
      <c r="C5" s="25">
        <v>42780</v>
      </c>
      <c r="D5" s="77">
        <v>0.70833333333333337</v>
      </c>
      <c r="E5" s="26"/>
      <c r="F5" s="78">
        <v>0.77940972222222227</v>
      </c>
      <c r="G5" s="15">
        <v>102.35000000000001</v>
      </c>
      <c r="H5" s="67" t="s">
        <v>120</v>
      </c>
    </row>
    <row r="6" spans="1:8">
      <c r="A6" s="23">
        <v>1</v>
      </c>
      <c r="B6" s="69" t="s">
        <v>42</v>
      </c>
      <c r="C6" s="25">
        <v>42781</v>
      </c>
      <c r="D6" s="79">
        <v>0.59092592592592597</v>
      </c>
      <c r="E6" s="26"/>
      <c r="F6" s="80">
        <v>0.62510416666666668</v>
      </c>
      <c r="G6" s="15">
        <v>49.216666666666633</v>
      </c>
      <c r="H6" s="67" t="s">
        <v>121</v>
      </c>
    </row>
    <row r="7" spans="1:8">
      <c r="A7" s="23">
        <v>1</v>
      </c>
      <c r="B7" s="69" t="s">
        <v>42</v>
      </c>
      <c r="C7" s="25">
        <v>42782</v>
      </c>
      <c r="D7" s="81">
        <v>0.40685185185185185</v>
      </c>
      <c r="E7" s="26"/>
      <c r="F7" s="82">
        <v>0.43775462962962958</v>
      </c>
      <c r="G7" s="15">
        <v>44.499999999999922</v>
      </c>
      <c r="H7" s="67" t="s">
        <v>121</v>
      </c>
    </row>
    <row r="8" spans="1:8">
      <c r="A8" s="23">
        <v>1</v>
      </c>
      <c r="B8" s="69" t="s">
        <v>42</v>
      </c>
      <c r="C8" s="68">
        <v>42782</v>
      </c>
      <c r="D8" s="81">
        <v>0.63597222222222227</v>
      </c>
      <c r="E8" s="26"/>
      <c r="F8" s="83">
        <v>0.66530092592592593</v>
      </c>
      <c r="G8" s="15">
        <v>42.233333333333277</v>
      </c>
      <c r="H8" s="67" t="s">
        <v>121</v>
      </c>
    </row>
    <row r="9" spans="1:8">
      <c r="A9" s="23">
        <v>1</v>
      </c>
      <c r="B9" s="69" t="s">
        <v>46</v>
      </c>
      <c r="C9" s="68">
        <v>42783</v>
      </c>
      <c r="D9" s="84">
        <v>0.72186342592592589</v>
      </c>
      <c r="E9" s="26"/>
      <c r="F9" s="85">
        <v>0.76473379629629623</v>
      </c>
      <c r="G9" s="15">
        <v>61.733333333333285</v>
      </c>
      <c r="H9" s="67" t="s">
        <v>122</v>
      </c>
    </row>
    <row r="10" spans="1:8">
      <c r="A10" s="72">
        <v>1</v>
      </c>
      <c r="B10" s="73" t="s">
        <v>46</v>
      </c>
      <c r="C10" s="86">
        <v>42785</v>
      </c>
      <c r="D10" s="85">
        <v>0.97369212962962959</v>
      </c>
      <c r="F10" s="85">
        <v>6.3171296296296295E-2</v>
      </c>
      <c r="G10" s="15">
        <v>128.85</v>
      </c>
      <c r="H10" s="74" t="s">
        <v>122</v>
      </c>
    </row>
    <row r="11" spans="1:8">
      <c r="A11" s="23">
        <v>1</v>
      </c>
      <c r="B11" s="69" t="s">
        <v>42</v>
      </c>
      <c r="C11" s="68">
        <v>42789</v>
      </c>
      <c r="D11" s="87">
        <v>0.37555555555555559</v>
      </c>
      <c r="E11" s="26"/>
      <c r="F11" s="88">
        <v>0.40208333333333335</v>
      </c>
      <c r="G11" s="15">
        <v>38.199999999999974</v>
      </c>
      <c r="H11" s="67" t="s">
        <v>123</v>
      </c>
    </row>
    <row r="12" spans="1:8">
      <c r="A12" s="11">
        <v>1</v>
      </c>
      <c r="B12" s="73" t="s">
        <v>42</v>
      </c>
      <c r="C12" s="31">
        <v>42792</v>
      </c>
      <c r="D12" s="89">
        <v>0.97143518518518512</v>
      </c>
      <c r="F12" s="83">
        <v>5.4398148148148144E-4</v>
      </c>
      <c r="G12" s="15">
        <v>41.916666666666771</v>
      </c>
      <c r="H12" s="74" t="s">
        <v>123</v>
      </c>
    </row>
    <row r="13" spans="1:8">
      <c r="A13" s="23">
        <v>1</v>
      </c>
      <c r="B13" s="69" t="s">
        <v>42</v>
      </c>
      <c r="C13" s="25">
        <v>42796</v>
      </c>
      <c r="D13" s="90">
        <v>0.6480555555555555</v>
      </c>
      <c r="E13" s="26"/>
      <c r="F13" s="90">
        <v>0.68983796296296296</v>
      </c>
      <c r="G13" s="15">
        <v>60.166666666666742</v>
      </c>
      <c r="H13" s="74" t="s">
        <v>123</v>
      </c>
    </row>
    <row r="14" spans="1:8">
      <c r="A14" s="23">
        <v>1</v>
      </c>
      <c r="B14" s="69" t="s">
        <v>42</v>
      </c>
      <c r="C14" s="25">
        <v>42796</v>
      </c>
      <c r="D14" s="90">
        <v>0.70890046296296294</v>
      </c>
      <c r="E14" s="26"/>
      <c r="F14" s="91">
        <v>0.78468749999999998</v>
      </c>
      <c r="G14" s="15">
        <v>109.13333333333334</v>
      </c>
      <c r="H14" s="74" t="s">
        <v>123</v>
      </c>
    </row>
    <row r="15" spans="1:8">
      <c r="A15" s="11">
        <v>1</v>
      </c>
      <c r="B15" s="73" t="s">
        <v>42</v>
      </c>
      <c r="C15" s="31">
        <v>42797</v>
      </c>
      <c r="D15" s="92">
        <v>0.8338078703703703</v>
      </c>
      <c r="F15" s="92">
        <v>0.86534722222222227</v>
      </c>
      <c r="G15" s="15">
        <v>45.416666666666842</v>
      </c>
      <c r="H15" s="74" t="s">
        <v>123</v>
      </c>
    </row>
    <row r="16" spans="1:8">
      <c r="A16" s="23">
        <v>1</v>
      </c>
      <c r="B16" s="69" t="s">
        <v>42</v>
      </c>
      <c r="C16" s="25">
        <v>42798</v>
      </c>
      <c r="D16" s="93">
        <v>0.52108796296296289</v>
      </c>
      <c r="E16" s="26"/>
      <c r="F16" s="94">
        <v>0.57378472222222221</v>
      </c>
      <c r="G16" s="15">
        <v>75.883333333333411</v>
      </c>
      <c r="H16" s="67" t="s">
        <v>123</v>
      </c>
    </row>
    <row r="17" spans="1:8">
      <c r="A17" s="23">
        <v>1</v>
      </c>
      <c r="B17" s="24" t="s">
        <v>42</v>
      </c>
      <c r="C17" s="25">
        <v>42799</v>
      </c>
      <c r="D17" s="93">
        <v>0.6202199074074074</v>
      </c>
      <c r="E17" s="26"/>
      <c r="F17" s="94">
        <v>0.73821759259259256</v>
      </c>
      <c r="G17" s="15">
        <v>169.91666666666663</v>
      </c>
      <c r="H17" s="15" t="s">
        <v>123</v>
      </c>
    </row>
    <row r="18" spans="1:8">
      <c r="A18" s="23">
        <v>1</v>
      </c>
      <c r="B18" s="69" t="s">
        <v>43</v>
      </c>
      <c r="C18" s="25">
        <v>42808</v>
      </c>
      <c r="D18" s="95">
        <v>0.70885416666666667</v>
      </c>
      <c r="E18" s="26"/>
      <c r="F18" s="96">
        <v>0.79166666666666663</v>
      </c>
      <c r="G18" s="15">
        <v>119.24999999999994</v>
      </c>
      <c r="H18" s="67" t="s">
        <v>125</v>
      </c>
    </row>
    <row r="19" spans="1:8">
      <c r="A19" s="23">
        <v>1</v>
      </c>
      <c r="B19" s="69" t="s">
        <v>43</v>
      </c>
      <c r="C19" s="25">
        <v>42810</v>
      </c>
      <c r="D19" s="95">
        <v>0.64624999999999999</v>
      </c>
      <c r="E19" s="26"/>
      <c r="F19" s="96">
        <v>0.79166666666666663</v>
      </c>
      <c r="G19" s="15">
        <v>209.39999999999995</v>
      </c>
      <c r="H19" s="67"/>
    </row>
    <row r="20" spans="1:8">
      <c r="A20" s="23">
        <v>1</v>
      </c>
      <c r="B20" s="24" t="s">
        <v>43</v>
      </c>
      <c r="C20" s="68">
        <v>42810</v>
      </c>
      <c r="D20" s="97">
        <v>0.92225694444444439</v>
      </c>
      <c r="E20" s="26"/>
      <c r="F20" s="99">
        <v>0.97938657407407403</v>
      </c>
      <c r="G20" s="15">
        <v>82.26666666666668</v>
      </c>
    </row>
    <row r="21" spans="1:8">
      <c r="A21" s="23">
        <v>1</v>
      </c>
      <c r="B21" s="69" t="s">
        <v>43</v>
      </c>
      <c r="C21" s="25">
        <v>42813</v>
      </c>
      <c r="D21" s="97">
        <v>0.83986111111111106</v>
      </c>
      <c r="E21" s="26"/>
      <c r="F21" s="98">
        <v>7.1527777777777787E-3</v>
      </c>
      <c r="G21" s="15">
        <v>240.90000000000009</v>
      </c>
      <c r="H21" s="67" t="s">
        <v>124</v>
      </c>
    </row>
    <row r="22" spans="1:8">
      <c r="A22" s="29">
        <v>1</v>
      </c>
      <c r="B22" s="24" t="s">
        <v>43</v>
      </c>
      <c r="C22" s="25">
        <v>42815</v>
      </c>
      <c r="D22" s="97">
        <v>0.47916666666666669</v>
      </c>
      <c r="E22" s="26"/>
      <c r="F22" s="98">
        <v>0.54171296296296301</v>
      </c>
      <c r="G22" s="15">
        <v>90.066666666666706</v>
      </c>
      <c r="H22" s="67" t="s">
        <v>128</v>
      </c>
    </row>
    <row r="23" spans="1:8">
      <c r="A23" s="29">
        <v>1</v>
      </c>
      <c r="B23" s="24" t="s">
        <v>43</v>
      </c>
      <c r="C23" s="25">
        <v>42816</v>
      </c>
      <c r="D23" s="97">
        <v>0.71737268518518515</v>
      </c>
      <c r="E23" s="26"/>
      <c r="F23" s="98">
        <v>0.80078703703703702</v>
      </c>
      <c r="G23" s="15">
        <v>120.11666666666669</v>
      </c>
      <c r="H23" s="74" t="s">
        <v>132</v>
      </c>
    </row>
    <row r="24" spans="1:8">
      <c r="A24" s="11">
        <v>1</v>
      </c>
      <c r="B24" s="73" t="s">
        <v>43</v>
      </c>
      <c r="C24" s="31">
        <v>42817</v>
      </c>
      <c r="D24" s="101">
        <v>0.70833333333333337</v>
      </c>
      <c r="F24" s="101">
        <v>0.79166666666666663</v>
      </c>
      <c r="G24" s="15">
        <v>119.99999999999989</v>
      </c>
      <c r="H24" s="74" t="s">
        <v>133</v>
      </c>
    </row>
    <row r="25" spans="1:8">
      <c r="A25" s="30">
        <v>1</v>
      </c>
      <c r="B25" s="24" t="s">
        <v>43</v>
      </c>
      <c r="C25" s="25">
        <v>42817</v>
      </c>
      <c r="D25" s="100">
        <v>0.93108796296296292</v>
      </c>
      <c r="E25" s="26"/>
      <c r="F25" s="101">
        <v>2.1180555555555553E-3</v>
      </c>
      <c r="G25" s="15">
        <v>102.28333333333339</v>
      </c>
      <c r="H25" s="67" t="s">
        <v>130</v>
      </c>
    </row>
    <row r="26" spans="1:8">
      <c r="A26" s="30">
        <v>1</v>
      </c>
      <c r="B26" s="69" t="s">
        <v>43</v>
      </c>
      <c r="C26" s="25">
        <v>42818</v>
      </c>
      <c r="D26" s="100">
        <v>0.41844907407407406</v>
      </c>
      <c r="E26" s="26"/>
      <c r="F26" s="101">
        <v>0.47304398148148147</v>
      </c>
      <c r="G26" s="15">
        <v>78.616666666666674</v>
      </c>
      <c r="H26" s="67" t="s">
        <v>131</v>
      </c>
    </row>
    <row r="27" spans="1:8">
      <c r="A27" s="29">
        <v>1</v>
      </c>
      <c r="B27" s="69" t="s">
        <v>43</v>
      </c>
      <c r="C27" s="25">
        <v>42819</v>
      </c>
      <c r="D27" s="102">
        <v>0.38324074074074077</v>
      </c>
      <c r="E27" s="26"/>
      <c r="F27" s="103">
        <v>0.55012731481481481</v>
      </c>
      <c r="G27" s="15">
        <v>240.31666666666661</v>
      </c>
      <c r="H27" s="74" t="s">
        <v>126</v>
      </c>
    </row>
    <row r="28" spans="1:8">
      <c r="A28" s="29">
        <v>1</v>
      </c>
      <c r="B28" s="24" t="s">
        <v>43</v>
      </c>
      <c r="C28" s="25">
        <v>42819</v>
      </c>
      <c r="D28" s="102">
        <v>0.79173611111111108</v>
      </c>
      <c r="E28" s="26"/>
      <c r="F28" s="103">
        <v>7.3715277777777768E-2</v>
      </c>
      <c r="G28" s="15">
        <v>406.05</v>
      </c>
      <c r="H28" s="74" t="s">
        <v>129</v>
      </c>
    </row>
    <row r="29" spans="1:8">
      <c r="A29" s="29">
        <v>1</v>
      </c>
      <c r="B29" s="24" t="s">
        <v>43</v>
      </c>
      <c r="C29" s="25">
        <v>42820</v>
      </c>
      <c r="D29" s="105">
        <v>0.58156249999999998</v>
      </c>
      <c r="E29" s="26"/>
      <c r="F29" s="104">
        <v>0.70655092592592583</v>
      </c>
      <c r="G29" s="15">
        <v>179.98333333333323</v>
      </c>
      <c r="H29" s="74" t="s">
        <v>127</v>
      </c>
    </row>
    <row r="30" spans="1:8">
      <c r="A30" s="29">
        <v>1</v>
      </c>
      <c r="B30" s="24" t="s">
        <v>43</v>
      </c>
      <c r="C30" s="25">
        <v>42856</v>
      </c>
      <c r="D30" s="106">
        <v>0.57863425925925926</v>
      </c>
      <c r="E30" s="26"/>
      <c r="F30" s="107">
        <v>0.76768518518518514</v>
      </c>
      <c r="G30" s="15">
        <v>272.23333333333323</v>
      </c>
      <c r="H30" s="67" t="s">
        <v>134</v>
      </c>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Usuario de Windows</cp:lastModifiedBy>
  <cp:lastPrinted>2016-02-08T14:42:00Z</cp:lastPrinted>
  <dcterms:created xsi:type="dcterms:W3CDTF">1997-09-28T05:27:00Z</dcterms:created>
  <dcterms:modified xsi:type="dcterms:W3CDTF">2017-05-02T19:50:11Z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