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onathan\.ssh\DesarrolloSoftware\psps\"/>
    </mc:Choice>
  </mc:AlternateContent>
  <bookViews>
    <workbookView xWindow="0" yWindow="0" windowWidth="20385" windowHeight="775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<sst xmlns="http://schemas.openxmlformats.org/spreadsheetml/2006/main" count="227" uniqueCount="124">
  <si>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</si>
  <si>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</si>
  <si>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</si>
  <si>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</si>
  <si>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</si>
  <si>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</si>
  <si>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</si>
  <si>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</si>
  <si>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</si>
  <si>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</si>
  <si>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</si>
  <si>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</si>
  <si>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</si>
  <si>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</si>
  <si>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</si>
  <si>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</si>
  <si>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</si>
  <si>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</si>
  <si>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</si>
  <si>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</si>
  <si>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</si>
  <si>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</si>
  <si>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</si>
  <si>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</si>
  <si>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</si>
  <si>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</si>
  <si>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</si>
  <si>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</si>
  <si>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</si>
  <si>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</si>
  <si>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</si>
  <si>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</si>
  <si>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</si>
  <si>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</si>
  <si>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</si>
  <si>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</si>
  <si>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</si>
  <si>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</si>
  <si>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</si>
  <si>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</si>
  <si>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</si>
  <si>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</si>
  <si>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</si>
  <si>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</si>
  <si>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</si>
  <si>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</si>
  <si>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</si>
  <si>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</si>
  <si>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</si>
  <si>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</si>
  <si>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</si>
  <si>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</si>
  <si>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</si>
  <si>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</si>
  <si>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</si>
  <si>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</si>
  <si>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</si>
  <si>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</si>
  <si>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</si>
  <si>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</si>
  <si>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</si>
  <si>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</si>
  <si>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</si>
  <si>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</si>
  <si>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</si>
  <si>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</si>
  <si>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</si>
  <si>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</si>
  <si>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</si>
  <si>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</si>
  <si>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</si>
  <si>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</si>
  <si>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</si>
  <si>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</si>
  <si>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</si>
  <si>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</si>
  <si>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</si>
  <si>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</si>
  <si>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</si>
  <si>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</si>
  <si>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</si>
  <si>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</si>
  <si>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</si>
  <si>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</si>
  <si>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</si>
  <si>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</si>
  <si>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</si>
  <si>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</si>
  <si>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</si>
  <si>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</si>
  <si>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</si>
  <si>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</si>
  <si>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</si>
  <si>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</si>
  <si>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</si>
  <si>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</si>
  <si>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</si>
  <si>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</si>
  <si>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</si>
  <si>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</si>
  <si>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</si>
  <si>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</si>
  <si>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</si>
  <si>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</si>
  <si>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</si>
  <si>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</si>
  <si>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</si>
  <si>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</si>
  <si>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</si>
  <si>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</si>
  <si>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</si>
  <si>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</si>
  <si>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</si>
  <si>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</si>
  <si>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</si>
  <si>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</si>
  <si>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JONATHAN GARCIA DELGADO</t>
  </si>
  <si>
    <t>Héctor Xavier Limón Riaño</t>
  </si>
  <si>
    <t>ESCUELA DE DANZA</t>
  </si>
  <si>
    <t>Planeación sobre trabajo actual</t>
  </si>
  <si>
    <t>Análisis de la sistuación actual</t>
  </si>
  <si>
    <t>Diseño Premilinar</t>
  </si>
  <si>
    <t>Elaboración de Documentación</t>
  </si>
  <si>
    <t>Diseño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</si>
</sst>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100">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0" fontId="21" fillId="0" borderId="0" xfId="8"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4"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xf numFmtId="167" fontId="21"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topLeftCell="A7" workbookViewId="0">
      <selection activeCell="G12" sqref="G12"/>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2.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42773</v>
      </c>
    </row>
    <row r="5" spans="1:15">
      <c r="C5" s="33" t="s">
        <v>27</v>
      </c>
      <c r="D5" s="66" t="s">
        <v>118</v>
      </c>
      <c r="E5" s="39"/>
      <c r="I5" s="33" t="s">
        <v>28</v>
      </c>
      <c r="K5" s="50">
        <v>1</v>
      </c>
    </row>
    <row r="6" spans="1:15">
      <c r="C6" s="33" t="s">
        <v>29</v>
      </c>
      <c r="D6" s="66" t="s">
        <v>117</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32.000000000000043</v>
      </c>
      <c r="H10" s="42"/>
      <c r="I10" s="45"/>
      <c r="J10" s="42"/>
      <c r="K10" s="45"/>
      <c r="L10" s="51"/>
      <c r="M10" s="45"/>
      <c r="O10" s="52">
        <f>SUM(G10:M10)</f>
        <v>32.000000000000043</v>
      </c>
    </row>
    <row r="11" spans="1:15">
      <c r="B11" s="43" t="s">
        <v>39</v>
      </c>
      <c r="C11" s="44" t="s">
        <v>41</v>
      </c>
      <c r="E11" s="42"/>
      <c r="F11" s="42"/>
      <c r="G11" s="45"/>
      <c r="H11" s="42"/>
      <c r="I11" s="45">
        <f>SUM(TimeLog!G3:G11)</f>
        <v>587.44999999999982</v>
      </c>
      <c r="J11" s="42"/>
      <c r="K11" s="45"/>
      <c r="L11" s="51"/>
      <c r="M11" s="45"/>
      <c r="O11" s="52">
        <f t="shared" ref="O11:O18" si="0">SUM(G11:M11)</f>
        <v>587.44999999999982</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32.000000000000043</v>
      </c>
      <c r="H19" s="42"/>
      <c r="I19" s="47">
        <f t="shared" si="1"/>
        <v>587.44999999999982</v>
      </c>
      <c r="J19" s="42"/>
      <c r="K19" s="47">
        <f t="shared" si="1"/>
        <v>0</v>
      </c>
      <c r="L19" s="53"/>
      <c r="M19" s="47">
        <f>SUM(M10:M18)</f>
        <v>0</v>
      </c>
      <c r="O19" s="47">
        <f>SUM(O10:O18)</f>
        <v>619.44999999999982</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8" activePane="bottomLeft" state="frozenSplit"/>
      <selection pane="bottomLeft" activeCell="D24" sqref="D24"/>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24" t="s">
        <v>40</v>
      </c>
      <c r="C2" s="25">
        <v>42774</v>
      </c>
      <c r="D2" s="70">
        <v>0.60277777777777775</v>
      </c>
      <c r="E2" s="26"/>
      <c r="F2" s="70">
        <v>0.625</v>
      </c>
      <c r="G2" s="15">
        <v>32.000000000000043</v>
      </c>
      <c r="H2" s="67" t="s">
        <v>119</v>
      </c>
    </row>
    <row r="3" spans="1:8">
      <c r="A3" s="23">
        <v>1</v>
      </c>
      <c r="B3" s="69" t="s">
        <v>41</v>
      </c>
      <c r="C3" s="68">
        <v>42775</v>
      </c>
      <c r="D3" s="70">
        <v>0.74861111111111101</v>
      </c>
      <c r="E3" s="26"/>
      <c r="F3" s="71">
        <v>0.79027777777777775</v>
      </c>
      <c r="G3" s="15">
        <v>60.000000000000107</v>
      </c>
      <c r="H3" s="67" t="s">
        <v>120</v>
      </c>
    </row>
    <row r="4" spans="1:8">
      <c r="A4" s="23">
        <v>1</v>
      </c>
      <c r="B4" s="24" t="s">
        <v>41</v>
      </c>
      <c r="C4" s="25">
        <v>42778</v>
      </c>
      <c r="D4" s="75">
        <v>0.98958333333333337</v>
      </c>
      <c r="E4" s="26"/>
      <c r="F4" s="76">
        <v>3.1504629629629625E-2</v>
      </c>
      <c r="G4" s="15">
        <v>60.366666666666617</v>
      </c>
      <c r="H4" s="67" t="s">
        <v>120</v>
      </c>
    </row>
    <row r="5" spans="1:8">
      <c r="A5" s="23">
        <v>1</v>
      </c>
      <c r="B5" s="24" t="s">
        <v>41</v>
      </c>
      <c r="C5" s="25">
        <v>42780</v>
      </c>
      <c r="D5" s="77">
        <v>0.70833333333333337</v>
      </c>
      <c r="E5" s="26"/>
      <c r="F5" s="78">
        <v>0.77940972222222227</v>
      </c>
      <c r="G5" s="15">
        <v>102.35000000000001</v>
      </c>
      <c r="H5" s="67" t="s">
        <v>120</v>
      </c>
    </row>
    <row r="6" spans="1:8">
      <c r="A6" s="23">
        <v>1</v>
      </c>
      <c r="B6" s="69" t="s">
        <v>42</v>
      </c>
      <c r="C6" s="25">
        <v>42781</v>
      </c>
      <c r="D6" s="79">
        <v>0.59092592592592597</v>
      </c>
      <c r="E6" s="26"/>
      <c r="F6" s="80">
        <v>0.62510416666666668</v>
      </c>
      <c r="G6" s="15">
        <v>49.216666666666633</v>
      </c>
      <c r="H6" s="67" t="s">
        <v>121</v>
      </c>
    </row>
    <row r="7" spans="1:8">
      <c r="A7" s="23">
        <v>1</v>
      </c>
      <c r="B7" s="69" t="s">
        <v>42</v>
      </c>
      <c r="C7" s="25">
        <v>42782</v>
      </c>
      <c r="D7" s="81">
        <v>0.40685185185185185</v>
      </c>
      <c r="E7" s="26"/>
      <c r="F7" s="82">
        <v>0.43775462962962958</v>
      </c>
      <c r="G7" s="15">
        <v>44.499999999999922</v>
      </c>
      <c r="H7" s="67" t="s">
        <v>121</v>
      </c>
    </row>
    <row r="8" spans="1:8">
      <c r="A8" s="23">
        <v>1</v>
      </c>
      <c r="B8" s="69" t="s">
        <v>42</v>
      </c>
      <c r="C8" s="68">
        <v>42782</v>
      </c>
      <c r="D8" s="81">
        <v>0.63597222222222227</v>
      </c>
      <c r="E8" s="26"/>
      <c r="F8" s="83">
        <v>0.66530092592592593</v>
      </c>
      <c r="G8" s="15">
        <v>42.233333333333277</v>
      </c>
      <c r="H8" s="67" t="s">
        <v>121</v>
      </c>
    </row>
    <row r="9" spans="1:8">
      <c r="A9" s="23">
        <v>1</v>
      </c>
      <c r="B9" s="69" t="s">
        <v>46</v>
      </c>
      <c r="C9" s="68">
        <v>42783</v>
      </c>
      <c r="D9" s="84">
        <v>0.72186342592592589</v>
      </c>
      <c r="E9" s="26"/>
      <c r="F9" s="85">
        <v>0.76473379629629623</v>
      </c>
      <c r="G9" s="15">
        <v>61.733333333333285</v>
      </c>
      <c r="H9" s="67" t="s">
        <v>122</v>
      </c>
    </row>
    <row r="10" spans="1:8">
      <c r="A10" s="72">
        <v>1</v>
      </c>
      <c r="B10" s="73" t="s">
        <v>46</v>
      </c>
      <c r="C10" s="86">
        <v>42785</v>
      </c>
      <c r="D10" s="85">
        <v>0.97369212962962959</v>
      </c>
      <c r="F10" s="85">
        <v>6.3171296296296295E-2</v>
      </c>
      <c r="G10" s="15">
        <v>128.85</v>
      </c>
      <c r="H10" s="74" t="s">
        <v>122</v>
      </c>
    </row>
    <row r="11" spans="1:8">
      <c r="A11" s="23">
        <v>1</v>
      </c>
      <c r="B11" s="69" t="s">
        <v>42</v>
      </c>
      <c r="C11" s="68">
        <v>42789</v>
      </c>
      <c r="D11" s="87">
        <v>0.37555555555555559</v>
      </c>
      <c r="E11" s="26"/>
      <c r="F11" s="88">
        <v>0.40208333333333335</v>
      </c>
      <c r="G11" s="15">
        <v>38.199999999999974</v>
      </c>
      <c r="H11" s="67" t="s">
        <v>123</v>
      </c>
    </row>
    <row r="12" spans="1:8">
      <c r="A12" s="11">
        <v>1</v>
      </c>
      <c r="B12" s="73" t="s">
        <v>42</v>
      </c>
      <c r="C12" s="31">
        <v>42792</v>
      </c>
      <c r="D12" s="89">
        <v>0.97143518518518512</v>
      </c>
      <c r="F12" s="83">
        <v>5.4398148148148144E-4</v>
      </c>
      <c r="G12" s="15">
        <v>41.916666666666771</v>
      </c>
      <c r="H12" s="74" t="s">
        <v>123</v>
      </c>
    </row>
    <row r="13" spans="1:8">
      <c r="A13" s="23">
        <v>1</v>
      </c>
      <c r="B13" s="69" t="s">
        <v>42</v>
      </c>
      <c r="C13" s="25">
        <v>42796</v>
      </c>
      <c r="D13" s="90">
        <v>0.6480555555555555</v>
      </c>
      <c r="E13" s="26"/>
      <c r="F13" s="90">
        <v>0.68983796296296296</v>
      </c>
      <c r="G13" s="15">
        <v>60.166666666666742</v>
      </c>
      <c r="H13" s="74" t="s">
        <v>123</v>
      </c>
    </row>
    <row r="14" spans="1:8">
      <c r="A14" s="23">
        <v>1</v>
      </c>
      <c r="B14" s="69" t="s">
        <v>42</v>
      </c>
      <c r="C14" s="25">
        <v>42796</v>
      </c>
      <c r="D14" s="90">
        <v>0.70890046296296294</v>
      </c>
      <c r="E14" s="26"/>
      <c r="F14" s="91">
        <v>0.78468749999999998</v>
      </c>
      <c r="G14" s="15">
        <v>109.13333333333334</v>
      </c>
      <c r="H14" s="74" t="s">
        <v>123</v>
      </c>
    </row>
    <row r="15" spans="1:8">
      <c r="A15" s="11">
        <v>1</v>
      </c>
      <c r="B15" s="73" t="s">
        <v>42</v>
      </c>
      <c r="C15" s="31">
        <v>42797</v>
      </c>
      <c r="D15" s="92">
        <v>0.8338078703703703</v>
      </c>
      <c r="F15" s="92">
        <v>0.86534722222222227</v>
      </c>
      <c r="G15" s="15">
        <v>45.416666666666842</v>
      </c>
      <c r="H15" s="74" t="s">
        <v>123</v>
      </c>
    </row>
    <row r="16" spans="1:8">
      <c r="A16" s="23">
        <v>1</v>
      </c>
      <c r="B16" s="69" t="s">
        <v>42</v>
      </c>
      <c r="C16" s="25">
        <v>42798</v>
      </c>
      <c r="D16" s="93">
        <v>0.52108796296296289</v>
      </c>
      <c r="E16" s="26"/>
      <c r="F16" s="94">
        <v>0.57378472222222221</v>
      </c>
      <c r="G16" s="15">
        <v>75.883333333333411</v>
      </c>
      <c r="H16" s="67" t="s">
        <v>123</v>
      </c>
    </row>
    <row r="17" spans="1:8">
      <c r="A17" s="23">
        <v>1</v>
      </c>
      <c r="B17" s="24" t="s">
        <v>42</v>
      </c>
      <c r="C17" s="25">
        <v>42799</v>
      </c>
      <c r="D17" s="93">
        <v>0.6202199074074074</v>
      </c>
      <c r="E17" s="26"/>
      <c r="F17" s="94">
        <v>0.73821759259259256</v>
      </c>
      <c r="G17" s="15">
        <v>169.91666666666663</v>
      </c>
      <c r="H17" s="15" t="s">
        <v>123</v>
      </c>
    </row>
    <row r="18" spans="1:8">
      <c r="A18" s="23">
        <v>1</v>
      </c>
      <c r="B18" s="69" t="s">
        <v>43</v>
      </c>
      <c r="C18" s="25">
        <v>42808</v>
      </c>
      <c r="D18" s="95">
        <v>0.70885416666666667</v>
      </c>
      <c r="E18" s="26"/>
      <c r="F18" s="96">
        <v>0.79166666666666663</v>
      </c>
      <c r="G18" s="15">
        <v>119.24999999999994</v>
      </c>
      <c r="H18" s="15"/>
    </row>
    <row r="19" spans="1:8">
      <c r="A19" s="23">
        <v>1</v>
      </c>
      <c r="B19" s="69" t="s">
        <v>43</v>
      </c>
      <c r="C19" s="25">
        <v>42810</v>
      </c>
      <c r="D19" s="95">
        <v>0.64624999999999999</v>
      </c>
      <c r="E19" s="26"/>
      <c r="F19" s="96">
        <v>0.79166666666666663</v>
      </c>
      <c r="G19" s="15">
        <v>209.39999999999995</v>
      </c>
      <c r="H19" s="15"/>
    </row>
    <row r="20" spans="1:8">
      <c r="A20" s="23">
        <v>1</v>
      </c>
      <c r="B20" s="24" t="s">
        <v>43</v>
      </c>
      <c r="C20" s="68">
        <v>42810</v>
      </c>
      <c r="D20" s="97">
        <v>0.92225694444444439</v>
      </c>
      <c r="E20" s="26"/>
      <c r="F20" s="99">
        <v>0.97938657407407403</v>
      </c>
      <c r="G20" s="15">
        <v>82.26666666666668</v>
      </c>
    </row>
    <row r="21" spans="1:8">
      <c r="A21" s="23">
        <v>1</v>
      </c>
      <c r="B21" s="69" t="s">
        <v>43</v>
      </c>
      <c r="C21" s="25">
        <v>42813</v>
      </c>
      <c r="D21" s="97">
        <v>0.83986111111111106</v>
      </c>
      <c r="E21" s="26"/>
      <c r="F21" s="98">
        <v>0.50715277777777779</v>
      </c>
      <c r="G21" s="15">
        <v>960.90000000000009</v>
      </c>
      <c r="H21" s="15"/>
    </row>
    <row r="22" spans="1:8">
      <c r="A22" s="29">
        <v>1</v>
      </c>
      <c r="B22" s="24" t="s">
        <v>43</v>
      </c>
      <c r="C22" s="25">
        <v>42815</v>
      </c>
      <c r="D22" s="97">
        <v>0.47916666666666669</v>
      </c>
      <c r="E22" s="26"/>
      <c r="F22" s="98">
        <v>0.54171296296296301</v>
      </c>
      <c r="G22" s="15">
        <v>90.066666666666706</v>
      </c>
      <c r="H22" s="15"/>
    </row>
    <row r="23" spans="1:8">
      <c r="A23" s="29">
        <v>1</v>
      </c>
      <c r="B23" s="24" t="s">
        <v>43</v>
      </c>
      <c r="C23" s="25">
        <v>42816</v>
      </c>
      <c r="D23" s="97">
        <v>0.71737268518518515</v>
      </c>
      <c r="E23" s="26"/>
      <c r="F23" s="98">
        <v>0.80078703703703702</v>
      </c>
      <c r="G23" s="15">
        <v>120.11666666666669</v>
      </c>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Windows</cp:lastModifiedBy>
  <cp:lastPrinted>2016-02-08T14:42:00Z</cp:lastPrinted>
  <dcterms:created xsi:type="dcterms:W3CDTF">1997-09-28T05:27:00Z</dcterms:created>
  <dcterms:modified xsi:type="dcterms:W3CDTF">2017-03-23T21:13:35Z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