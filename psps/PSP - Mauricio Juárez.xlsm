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668" codeName="{C74EF38D-198D-F2B1-A963-D0AE11F4D965}"/>
  <workbookPr codeName="ThisWorkbook"/>
  <mc:AlternateContent xmlns:mc="http://schemas.openxmlformats.org/markup-compatibility/2006">
    <mc:Choice Requires="x15">
      <x15ac:absPath xmlns:x15ac="http://schemas.microsoft.com/office/spreadsheetml/2010/11/ac" url="C:\Users\Mauricio Juárez\Documents\GitHub\DesarrolloSoftware\psps\"/>
    </mc:Choice>
  </mc:AlternateContent>
  <bookViews>
    <workbookView xWindow="465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<sst xmlns="http://schemas.openxmlformats.org/spreadsheetml/2006/main" count="201" uniqueCount="125">
  <si>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</si>
  <si>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</si>
  <si>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</si>
  <si>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</si>
  <si>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</si>
  <si>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</si>
  <si>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</si>
  <si>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</si>
  <si>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</si>
  <si>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</si>
  <si>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</si>
  <si>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</si>
  <si>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</si>
  <si>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</si>
  <si>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</si>
  <si>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</si>
  <si>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</si>
  <si>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</si>
  <si>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</si>
  <si>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</si>
  <si>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</si>
  <si>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</si>
  <si>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</si>
  <si>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</si>
  <si>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</si>
  <si>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</si>
  <si>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</si>
  <si>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</si>
  <si>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</si>
  <si>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</si>
  <si>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</si>
  <si>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</si>
  <si>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</si>
  <si>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</si>
  <si>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</si>
  <si>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</si>
  <si>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</si>
  <si>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</si>
  <si>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</si>
  <si>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</si>
  <si>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</si>
  <si>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</si>
  <si>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</si>
  <si>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</si>
  <si>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</si>
  <si>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</si>
  <si>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</si>
  <si>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</si>
  <si>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</si>
  <si>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</si>
  <si>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</si>
  <si>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</si>
  <si>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</si>
  <si>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</si>
  <si>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</si>
  <si>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</si>
  <si>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</si>
  <si>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</si>
  <si>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</si>
  <si>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</si>
  <si>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</si>
  <si>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</si>
  <si>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</si>
  <si>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</si>
  <si>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</si>
  <si>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</si>
  <si>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</si>
  <si>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</si>
  <si>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</si>
  <si>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</si>
  <si>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</si>
  <si>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</si>
  <si>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</si>
  <si>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</si>
  <si>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</si>
  <si>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</si>
  <si>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</si>
  <si>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</si>
  <si>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</si>
  <si>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</si>
  <si>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</si>
  <si>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</si>
  <si>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</si>
  <si>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</si>
  <si>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</si>
  <si>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</si>
  <si>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</si>
  <si>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</si>
  <si>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</si>
  <si>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</si>
  <si>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</si>
  <si>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</si>
  <si>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</si>
  <si>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</si>
  <si>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</si>
  <si>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</si>
  <si>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</si>
  <si>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</si>
  <si>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</si>
  <si>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</si>
  <si>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</si>
  <si>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</si>
  <si>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</si>
  <si>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</si>
  <si>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</si>
  <si>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</si>
  <si>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</si>
  <si>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</si>
  <si>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</si>
  <si>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</si>
  <si>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</si>
  <si>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</si>
  <si>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</si>
  <si>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</si>
  <si>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</si>
  <si>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</si>
  <si>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Mauricio Juárez Capistran</t>
  </si>
  <si>
    <t>Escuela de Danza ”Ared espacio”</t>
  </si>
  <si>
    <t>Héctor Javier Limón Riaño</t>
  </si>
  <si>
    <t>Analisis de requerimientos de Software</t>
  </si>
  <si>
    <t xml:space="preserve">Elaboración de Diagrama de Casos de uso </t>
  </si>
  <si>
    <t>Elaboracion de Descripciones de CU</t>
  </si>
  <si>
    <t>Elaboracion de Prototipos</t>
  </si>
  <si>
    <t>Correccion del documento de ERS</t>
  </si>
  <si>
    <t xml:space="preserve">Revision del documento preliminar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</si>
</sst>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5">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1"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14" fontId="21" fillId="0" borderId="0" xfId="8" applyNumberFormat="1" applyFont="1" applyFill="1" applyProtection="1">
      <protection locked="0"/>
    </xf>
    <xf numFmtId="0" fontId="21" fillId="0" borderId="0" xfId="8" applyFont="1" applyFill="1" applyProtection="1">
      <protection locked="0"/>
    </xf>
    <xf numFmtId="21"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1"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C11" sqref="C11"/>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10.710937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116</v>
      </c>
      <c r="E4" s="39"/>
      <c r="I4" s="33" t="s">
        <v>26</v>
      </c>
      <c r="K4" s="39">
        <v>42774</v>
      </c>
    </row>
    <row r="5" spans="1:15">
      <c r="C5" s="33" t="s">
        <v>27</v>
      </c>
      <c r="D5" s="66" t="s">
        <v>117</v>
      </c>
      <c r="E5" s="39"/>
      <c r="I5" s="33" t="s">
        <v>28</v>
      </c>
      <c r="K5" s="50">
        <v>1</v>
      </c>
    </row>
    <row r="6" spans="1:15">
      <c r="C6" s="33" t="s">
        <v>29</v>
      </c>
      <c r="D6" s="66" t="s">
        <v>118</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f>SUM(TimeLog!G2)</f>
        <v>26.549999999999994</v>
      </c>
      <c r="H10" s="42"/>
      <c r="I10" s="45"/>
      <c r="J10" s="42"/>
      <c r="K10" s="45"/>
      <c r="L10" s="51"/>
      <c r="M10" s="45"/>
      <c r="O10" s="52">
        <f>SUM(G10:M10)</f>
        <v>26.549999999999994</v>
      </c>
    </row>
    <row r="11" spans="1:15">
      <c r="B11" s="43" t="s">
        <v>39</v>
      </c>
      <c r="C11" s="44" t="s">
        <v>41</v>
      </c>
      <c r="E11" s="42"/>
      <c r="F11" s="42"/>
      <c r="G11" s="45"/>
      <c r="H11" s="42"/>
      <c r="I11" s="45">
        <f>SUM(TimeLog!G3:G11)</f>
        <v>417.96666666666658</v>
      </c>
      <c r="J11" s="42"/>
      <c r="K11" s="45"/>
      <c r="L11" s="51"/>
      <c r="M11" s="45"/>
      <c r="O11" s="52">
        <f t="shared" ref="O11:O18" si="0">SUM(G11:M11)</f>
        <v>417.96666666666658</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26.549999999999994</v>
      </c>
      <c r="H19" s="42"/>
      <c r="I19" s="47">
        <f t="shared" si="1"/>
        <v>417.96666666666658</v>
      </c>
      <c r="J19" s="42"/>
      <c r="K19" s="47">
        <f t="shared" si="1"/>
        <v>0</v>
      </c>
      <c r="L19" s="53"/>
      <c r="M19" s="47">
        <f>SUM(M10:M18)</f>
        <v>0</v>
      </c>
      <c r="O19" s="47">
        <f>SUM(O10:O18)</f>
        <v>444.51666666666659</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 activePane="bottomLeft" state="frozenSplit"/>
      <selection pane="bottomLeft" activeCell="F10" sqref="F10"/>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69" t="s">
        <v>41</v>
      </c>
      <c r="C2" s="25">
        <v>42774</v>
      </c>
      <c r="D2" s="75">
        <v>0.60561342592592593</v>
      </c>
      <c r="E2" s="26"/>
      <c r="F2" s="75">
        <v>0.62405092592592593</v>
      </c>
      <c r="G2" s="15">
        <v>26.549999999999994</v>
      </c>
      <c r="H2" s="67" t="s">
        <v>119</v>
      </c>
    </row>
    <row r="3" spans="1:8">
      <c r="A3" s="23">
        <v>1</v>
      </c>
      <c r="B3" s="69" t="s">
        <v>41</v>
      </c>
      <c r="C3" s="68">
        <v>42775</v>
      </c>
      <c r="D3" s="76">
        <v>0.71813657407407405</v>
      </c>
      <c r="E3" s="26">
        <v>10</v>
      </c>
      <c r="F3" s="77">
        <v>0.79182870370370362</v>
      </c>
      <c r="G3" s="15">
        <v>96.116666666666575</v>
      </c>
      <c r="H3" s="67" t="s">
        <v>120</v>
      </c>
    </row>
    <row r="4" spans="1:8">
      <c r="A4" s="23">
        <v>1</v>
      </c>
      <c r="B4" s="24" t="s">
        <v>41</v>
      </c>
      <c r="C4" s="25">
        <v>42780</v>
      </c>
      <c r="D4" s="78">
        <v>0.72887731481481488</v>
      </c>
      <c r="E4" s="26"/>
      <c r="F4" s="79">
        <v>0.79077546296296297</v>
      </c>
      <c r="G4" s="15">
        <v>89.133333333333255</v>
      </c>
      <c r="H4" s="74" t="s">
        <v>121</v>
      </c>
    </row>
    <row r="5" spans="1:8">
      <c r="A5" s="23">
        <v>1</v>
      </c>
      <c r="B5" s="24" t="s">
        <v>41</v>
      </c>
      <c r="C5" s="25">
        <v>42780</v>
      </c>
      <c r="D5" s="81">
        <v>0.92731481481481481</v>
      </c>
      <c r="E5" s="26"/>
      <c r="F5" s="82">
        <v>0.99672453703703701</v>
      </c>
      <c r="G5" s="15">
        <v>99.94999999999996</v>
      </c>
      <c r="H5" s="67" t="s">
        <v>122</v>
      </c>
    </row>
    <row r="6" spans="1:8">
      <c r="A6" s="23">
        <v>1</v>
      </c>
      <c r="B6" s="69" t="s">
        <v>41</v>
      </c>
      <c r="C6" s="25">
        <v>42781</v>
      </c>
      <c r="D6" s="80">
        <v>0.59796296296296292</v>
      </c>
      <c r="E6" s="26"/>
      <c r="F6" s="82">
        <v>0.62439814814814809</v>
      </c>
      <c r="G6" s="15">
        <v>38.066666666666649</v>
      </c>
      <c r="H6" s="67" t="s">
        <v>124</v>
      </c>
    </row>
    <row r="7" spans="1:8">
      <c r="A7" s="23">
        <v>1</v>
      </c>
      <c r="B7" s="69" t="s">
        <v>41</v>
      </c>
      <c r="C7" s="25">
        <v>42786</v>
      </c>
      <c r="D7" s="83">
        <v>0.9306712962962963</v>
      </c>
      <c r="E7" s="26"/>
      <c r="F7" s="84">
        <v>0.99643518518518526</v>
      </c>
      <c r="G7" s="15">
        <v>94.700000000000102</v>
      </c>
      <c r="H7" s="67" t="s">
        <v>123</v>
      </c>
    </row>
    <row r="8" spans="1:8">
      <c r="A8" s="23"/>
      <c r="B8" s="69"/>
      <c r="C8" s="68"/>
      <c r="D8" s="27"/>
      <c r="E8" s="26"/>
      <c r="F8" s="70"/>
      <c r="H8" s="67"/>
    </row>
    <row r="9" spans="1:8">
      <c r="A9" s="23"/>
      <c r="B9" s="69"/>
      <c r="C9" s="25"/>
      <c r="D9" s="27"/>
      <c r="E9" s="26"/>
      <c r="F9" s="28"/>
      <c r="H9" s="67"/>
    </row>
    <row r="10" spans="1:8">
      <c r="A10" s="71"/>
      <c r="B10" s="72"/>
      <c r="C10" s="73"/>
      <c r="H10" s="74"/>
    </row>
    <row r="11" spans="1:8">
      <c r="A11" s="23"/>
      <c r="B11" s="69"/>
      <c r="C11" s="68"/>
      <c r="D11" s="27"/>
      <c r="E11" s="26"/>
      <c r="F11" s="28"/>
      <c r="H11" s="67"/>
    </row>
    <row r="12" spans="1:8">
      <c r="B12" s="72"/>
      <c r="H12" s="74"/>
    </row>
    <row r="13" spans="1:8">
      <c r="A13" s="23"/>
      <c r="B13" s="69"/>
      <c r="C13" s="25"/>
      <c r="D13" s="27"/>
      <c r="E13" s="26"/>
      <c r="F13" s="27"/>
      <c r="H13" s="74"/>
    </row>
    <row r="14" spans="1:8">
      <c r="A14" s="23"/>
      <c r="B14" s="69"/>
      <c r="C14" s="25"/>
      <c r="D14" s="27"/>
      <c r="E14" s="26"/>
      <c r="F14" s="28"/>
      <c r="H14" s="74"/>
    </row>
    <row r="15" spans="1:8">
      <c r="B15" s="72"/>
      <c r="H15" s="74"/>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MAURICIO JUAREZ  CAPISTRAN</cp:lastModifiedBy>
  <cp:lastPrinted>2016-02-08T14:42:00Z</cp:lastPrinted>
  <dcterms:created xsi:type="dcterms:W3CDTF">1997-09-28T05:27:00Z</dcterms:created>
  <dcterms:modified xsi:type="dcterms:W3CDTF">2017-02-21T23:15:25Z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